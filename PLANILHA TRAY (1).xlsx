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y" sheetId="1" r:id="rId5"/>
  </sheets>
  <definedNames/>
  <calcPr/>
</workbook>
</file>

<file path=xl/sharedStrings.xml><?xml version="1.0" encoding="utf-8"?>
<sst xmlns="http://schemas.openxmlformats.org/spreadsheetml/2006/main" count="33" uniqueCount="32">
  <si>
    <t>TAXA</t>
  </si>
  <si>
    <t>IMPOSTO</t>
  </si>
  <si>
    <t>LUCRO</t>
  </si>
  <si>
    <t>CUSTO</t>
  </si>
  <si>
    <t>VALO VENDA</t>
  </si>
  <si>
    <t>PREMIUM</t>
  </si>
  <si>
    <t>CLASSICO</t>
  </si>
  <si>
    <t>SITE 6x</t>
  </si>
  <si>
    <t>6X SEM JUROS</t>
  </si>
  <si>
    <t>SITE 3x</t>
  </si>
  <si>
    <t>3X COM  DESCONTO</t>
  </si>
  <si>
    <t>LOJA</t>
  </si>
  <si>
    <t>PIX DESCONTO</t>
  </si>
  <si>
    <t xml:space="preserve">FORMAÇÃO PREÇO VENDA </t>
  </si>
  <si>
    <t xml:space="preserve">FORMAÇÃO PREÇO DE VENDA </t>
  </si>
  <si>
    <t xml:space="preserve">PREÇO DE VENDA </t>
  </si>
  <si>
    <t>Lucro em R$</t>
  </si>
  <si>
    <t>taxa</t>
  </si>
  <si>
    <t>custos</t>
  </si>
  <si>
    <t>lucro</t>
  </si>
  <si>
    <t>LUCROS DESEJADO %</t>
  </si>
  <si>
    <t>ML PREMIUM 17%</t>
  </si>
  <si>
    <t>ML CLASSICO 12%</t>
  </si>
  <si>
    <t/>
  </si>
  <si>
    <t>CUSTO PRODUTO</t>
  </si>
  <si>
    <t>E-COMMERCE 6X</t>
  </si>
  <si>
    <t>FRETE / TAXA</t>
  </si>
  <si>
    <t>E-COMMERCE 3X (4%)</t>
  </si>
  <si>
    <t>SITE:</t>
  </si>
  <si>
    <t>TAXA DE R$ 10,00 PRODUTO CUSTO MENOR 50,00</t>
  </si>
  <si>
    <t>TAXA DE R$ 5,00 PRODUTO CUSTO ATE 100,00</t>
  </si>
  <si>
    <r>
      <rPr>
        <rFont val="Arial"/>
        <color theme="1"/>
        <sz val="11.0"/>
      </rPr>
      <t xml:space="preserve">TAXA DE R$ 0,00 PRODUTO CUSTO MAIOR </t>
    </r>
    <r>
      <rPr>
        <rFont val="Arial"/>
        <b/>
        <color rgb="FFFF0000"/>
        <sz val="11.0"/>
      </rPr>
      <t>101,00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</si>
</sst>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&quot;R$&quot;\ #,##0.00"/>
  </numFmts>
  <fonts count="12">
    <font>
      <sz val="11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sz val="14.0"/>
      <color theme="0"/>
      <name val="Aptos Narrow"/>
    </font>
    <font>
      <sz val="9.0"/>
      <color theme="1"/>
      <name val="Aptos Narrow"/>
    </font>
    <font>
      <b/>
      <sz val="14.0"/>
      <color theme="1"/>
      <name val="Aptos Narrow"/>
    </font>
    <font>
      <sz val="16.0"/>
      <color theme="1"/>
      <name val="Aptos Narrow"/>
    </font>
    <font>
      <sz val="16.0"/>
      <color theme="1"/>
      <name val="Arial"/>
    </font>
    <font>
      <sz val="8.0"/>
      <color theme="1"/>
      <name val="Aptos Narrow"/>
    </font>
    <font>
      <b/>
      <sz val="18.0"/>
      <color theme="1"/>
      <name val="Aptos Narrow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rgb="FFFF0000"/>
        <bgColor rgb="FFFF0000"/>
      </patternFill>
    </fill>
    <fill>
      <patternFill patternType="solid">
        <fgColor rgb="FFD9F2D0"/>
        <bgColor rgb="FFD9F2D0"/>
      </patternFill>
    </fill>
    <fill>
      <patternFill patternType="solid">
        <fgColor rgb="FF5CF8ED"/>
        <bgColor rgb="FF5CF8ED"/>
      </patternFill>
    </fill>
    <fill>
      <patternFill patternType="solid">
        <fgColor rgb="FF92D050"/>
        <bgColor rgb="FF92D050"/>
      </patternFill>
    </fill>
    <fill>
      <patternFill patternType="solid">
        <fgColor rgb="FFA6C9EB"/>
        <bgColor rgb="FFA6C9EB"/>
      </patternFill>
    </fill>
    <fill>
      <patternFill patternType="solid">
        <fgColor theme="0"/>
        <bgColor theme="0"/>
      </patternFill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1E4F5"/>
        <bgColor rgb="FFC1E4F5"/>
      </patternFill>
    </fill>
    <fill>
      <patternFill patternType="solid">
        <fgColor rgb="FF47D45A"/>
        <bgColor rgb="FF47D45A"/>
      </patternFill>
    </fill>
    <fill>
      <patternFill patternType="solid">
        <fgColor rgb="FF45B0E1"/>
        <bgColor rgb="FF45B0E1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164" xfId="0" applyBorder="1" applyFont="1" applyNumberFormat="1"/>
    <xf borderId="1" fillId="0" fontId="2" numFmtId="165" xfId="0" applyBorder="1" applyFont="1" applyNumberFormat="1"/>
    <xf borderId="1" fillId="2" fontId="2" numFmtId="2" xfId="0" applyBorder="1" applyFill="1" applyFont="1" applyNumberFormat="1"/>
    <xf borderId="0" fillId="0" fontId="2" numFmtId="0" xfId="0" applyFont="1"/>
    <xf borderId="0" fillId="0" fontId="2" numFmtId="2" xfId="0" applyFont="1" applyNumberFormat="1"/>
    <xf borderId="2" fillId="3" fontId="2" numFmtId="0" xfId="0" applyBorder="1" applyFill="1" applyFont="1"/>
    <xf borderId="3" fillId="4" fontId="3" numFmtId="0" xfId="0" applyAlignment="1" applyBorder="1" applyFill="1" applyFont="1">
      <alignment horizontal="center"/>
    </xf>
    <xf borderId="1" fillId="5" fontId="3" numFmtId="2" xfId="0" applyBorder="1" applyFill="1" applyFont="1" applyNumberFormat="1"/>
    <xf borderId="4" fillId="4" fontId="3" numFmtId="0" xfId="0" applyAlignment="1" applyBorder="1" applyFill="1" applyFont="1">
      <alignment horizontal="center"/>
    </xf>
    <xf borderId="5" fillId="5" fontId="3" numFmtId="2" xfId="0" applyBorder="1" applyFill="1" applyFont="1" applyNumberFormat="1"/>
    <xf borderId="6" fillId="6" fontId="2" numFmtId="0" xfId="0" applyBorder="1" applyFill="1" applyFont="1"/>
    <xf borderId="2" fillId="3" fontId="2" numFmtId="0" xfId="0" applyAlignment="1" applyBorder="1" applyFill="1" applyFont="1">
      <alignment horizontal="center"/>
    </xf>
    <xf borderId="7" fillId="4" fontId="3" numFmtId="0" xfId="0" applyAlignment="1" applyBorder="1" applyFill="1" applyFont="1">
      <alignment horizontal="center"/>
    </xf>
    <xf borderId="8" fillId="7" fontId="1" numFmtId="0" xfId="0" applyAlignment="1" applyBorder="1" applyFill="1" applyFont="1">
      <alignment horizontal="left"/>
    </xf>
    <xf borderId="9" fillId="7" fontId="1" numFmtId="0" xfId="0" applyAlignment="1" applyBorder="1" applyFill="1" applyFont="1">
      <alignment horizontal="left"/>
    </xf>
    <xf borderId="9" fillId="7" fontId="2" numFmtId="0" xfId="0" applyAlignment="1" applyBorder="1" applyFill="1" applyFont="1">
      <alignment horizontal="left"/>
    </xf>
    <xf borderId="2" fillId="7" fontId="2" numFmtId="0" xfId="0" applyAlignment="1" applyBorder="1" applyFill="1" applyFont="1">
      <alignment horizontal="left"/>
    </xf>
    <xf borderId="10" fillId="7" fontId="2" numFmtId="0" xfId="0" applyAlignment="1" applyBorder="1" applyFill="1" applyFont="1">
      <alignment horizontal="left"/>
    </xf>
    <xf borderId="11" fillId="7" fontId="2" numFmtId="2" xfId="0" applyAlignment="1" applyBorder="1" applyFill="1" applyFont="1" applyNumberFormat="1">
      <alignment horizontal="left"/>
    </xf>
    <xf borderId="8" fillId="3" fontId="4" numFmtId="0" xfId="0" applyAlignment="1" applyBorder="1" applyFill="1" applyFont="1">
      <alignment horizontal="left"/>
    </xf>
    <xf borderId="12" fillId="3" fontId="1" numFmtId="0" xfId="0" applyBorder="1" applyFill="1" applyFont="1"/>
    <xf borderId="2" fillId="8" fontId="2" numFmtId="0" xfId="0" applyBorder="1" applyFill="1" applyFont="1"/>
    <xf borderId="8" fillId="3" fontId="4" numFmtId="0" xfId="0" applyAlignment="1" applyBorder="1" applyFill="1" applyFont="1">
      <alignment horizontal="right"/>
    </xf>
    <xf borderId="12" fillId="3" fontId="2" numFmtId="0" xfId="0" applyBorder="1" applyFill="1" applyFont="1"/>
    <xf borderId="13" fillId="9" fontId="5" numFmtId="0" xfId="0" applyAlignment="1" applyBorder="1" applyFill="1" applyFont="1">
      <alignment horizontal="center"/>
    </xf>
    <xf borderId="14" fillId="7" fontId="6" numFmtId="0" xfId="0" applyAlignment="1" applyBorder="1" applyFill="1" applyFont="1">
      <alignment horizontal="center"/>
    </xf>
    <xf borderId="15" fillId="8" fontId="3" numFmtId="0" xfId="0" applyAlignment="1" applyBorder="1" applyFill="1" applyFont="1">
      <alignment horizontal="center"/>
    </xf>
    <xf borderId="16" fillId="8" fontId="3" numFmtId="0" xfId="0" applyBorder="1" applyFill="1" applyFont="1"/>
    <xf borderId="14" fillId="10" fontId="7" numFmtId="0" xfId="0" applyBorder="1" applyFill="1" applyFont="1"/>
    <xf borderId="16" fillId="10" fontId="8" numFmtId="164" xfId="0" applyAlignment="1" applyBorder="1" applyFill="1" applyFont="1" applyNumberFormat="1">
      <alignment horizontal="center" readingOrder="0"/>
    </xf>
    <xf borderId="2" fillId="8" fontId="7" numFmtId="0" xfId="0" applyBorder="1" applyFill="1" applyFont="1"/>
    <xf borderId="14" fillId="11" fontId="7" numFmtId="0" xfId="0" applyBorder="1" applyFill="1" applyFont="1"/>
    <xf borderId="16" fillId="11" fontId="7" numFmtId="4" xfId="0" applyBorder="1" applyFill="1" applyFont="1" applyNumberFormat="1"/>
    <xf borderId="17" fillId="8" fontId="5" numFmtId="165" xfId="0" applyAlignment="1" applyBorder="1" applyFill="1" applyFont="1" applyNumberFormat="1">
      <alignment horizontal="center"/>
    </xf>
    <xf borderId="18" fillId="12" fontId="2" numFmtId="165" xfId="0" applyBorder="1" applyFill="1" applyFont="1" applyNumberFormat="1"/>
    <xf borderId="18" fillId="8" fontId="2" numFmtId="165" xfId="0" applyBorder="1" applyFill="1" applyFont="1" applyNumberFormat="1"/>
    <xf borderId="19" fillId="8" fontId="2" numFmtId="165" xfId="0" applyBorder="1" applyFill="1" applyFont="1" applyNumberFormat="1"/>
    <xf borderId="2" fillId="8" fontId="7" numFmtId="3" xfId="0" applyAlignment="1" applyBorder="1" applyFill="1" applyFont="1" applyNumberFormat="1">
      <alignment horizontal="center"/>
    </xf>
    <xf borderId="20" fillId="8" fontId="5" numFmtId="165" xfId="0" applyAlignment="1" applyBorder="1" applyFill="1" applyFont="1" applyNumberFormat="1">
      <alignment horizontal="center"/>
    </xf>
    <xf borderId="21" fillId="12" fontId="2" numFmtId="165" xfId="0" applyBorder="1" applyFill="1" applyFont="1" applyNumberFormat="1"/>
    <xf borderId="22" fillId="8" fontId="2" numFmtId="165" xfId="0" applyBorder="1" applyFill="1" applyFont="1" applyNumberFormat="1"/>
    <xf borderId="23" fillId="8" fontId="2" numFmtId="165" xfId="0" applyBorder="1" applyFill="1" applyFont="1" applyNumberFormat="1"/>
    <xf quotePrefix="1" borderId="2" fillId="8" fontId="2" numFmtId="0" xfId="0" applyBorder="1" applyFill="1" applyFont="1"/>
    <xf borderId="14" fillId="4" fontId="7" numFmtId="0" xfId="0" applyBorder="1" applyFill="1" applyFont="1"/>
    <xf borderId="16" fillId="13" fontId="8" numFmtId="165" xfId="0" applyAlignment="1" applyBorder="1" applyFill="1" applyFont="1" applyNumberFormat="1">
      <alignment readingOrder="0" vertical="center"/>
    </xf>
    <xf borderId="14" fillId="11" fontId="9" numFmtId="0" xfId="0" applyBorder="1" applyFill="1" applyFont="1"/>
    <xf borderId="24" fillId="11" fontId="9" numFmtId="4" xfId="0" applyBorder="1" applyFill="1" applyFont="1" applyNumberFormat="1"/>
    <xf borderId="2" fillId="8" fontId="5" numFmtId="165" xfId="0" applyAlignment="1" applyBorder="1" applyFill="1" applyFont="1" applyNumberFormat="1">
      <alignment horizontal="center"/>
    </xf>
    <xf borderId="14" fillId="4" fontId="7" numFmtId="0" xfId="0" applyAlignment="1" applyBorder="1" applyFill="1" applyFont="1">
      <alignment vertical="center"/>
    </xf>
    <xf borderId="14" fillId="2" fontId="10" numFmtId="0" xfId="0" applyAlignment="1" applyBorder="1" applyFill="1" applyFont="1">
      <alignment horizontal="center" vertical="center"/>
    </xf>
    <xf borderId="24" fillId="2" fontId="10" numFmtId="4" xfId="0" applyAlignment="1" applyBorder="1" applyFill="1" applyFont="1" applyNumberFormat="1">
      <alignment horizontal="center" vertical="center"/>
    </xf>
    <xf borderId="14" fillId="8" fontId="5" numFmtId="165" xfId="0" applyAlignment="1" applyBorder="1" applyFill="1" applyFont="1" applyNumberFormat="1">
      <alignment horizontal="center"/>
    </xf>
    <xf borderId="15" fillId="8" fontId="2" numFmtId="165" xfId="0" applyBorder="1" applyFill="1" applyFont="1" applyNumberFormat="1"/>
    <xf borderId="16" fillId="8" fontId="2" numFmtId="4" xfId="0" applyBorder="1" applyFill="1" applyFont="1" applyNumberFormat="1"/>
    <xf borderId="2" fillId="8" fontId="8" numFmtId="0" xfId="0" applyAlignment="1" applyBorder="1" applyFill="1" applyFont="1">
      <alignment readingOrder="0"/>
    </xf>
    <xf borderId="2" fillId="8" fontId="2" numFmtId="165" xfId="0" applyBorder="1" applyFill="1" applyFont="1" applyNumberFormat="1"/>
    <xf borderId="2" fillId="8" fontId="3" numFmtId="0" xfId="0" applyBorder="1" applyFill="1" applyFont="1"/>
    <xf borderId="8" fillId="14" fontId="2" numFmtId="0" xfId="0" applyAlignment="1" applyBorder="1" applyFill="1" applyFont="1">
      <alignment horizontal="left"/>
    </xf>
    <xf borderId="12" fillId="14" fontId="2" numFmtId="0" xfId="0" applyBorder="1" applyFill="1" applyFont="1"/>
    <xf borderId="18" fillId="8" fontId="11" numFmtId="0" xfId="0" applyAlignment="1" applyBorder="1" applyFill="1" applyFont="1">
      <alignment readingOrder="0"/>
    </xf>
    <xf borderId="25" fillId="0" fontId="2" numFmtId="0" xfId="0" applyBorder="1" applyFont="1"/>
    <xf borderId="1" fillId="8" fontId="2" numFmtId="0" xfId="0" applyBorder="1" applyFill="1" applyFont="1"/>
    <xf borderId="1" fillId="8" fontId="1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5"/>
    <col customWidth="1" min="2" max="2" width="16.0"/>
    <col customWidth="1" min="3" max="3" width="12.0"/>
    <col customWidth="1" min="4" max="4" width="39.25"/>
    <col customWidth="1" min="5" max="5" width="26.25"/>
    <col customWidth="1" min="6" max="6" width="8.63"/>
    <col customWidth="1" min="7" max="7" width="12.0"/>
    <col customWidth="1" min="8" max="10" width="10.5"/>
    <col customWidth="1" min="11" max="11" width="75.0"/>
    <col customWidth="1" min="12" max="26" width="8.63"/>
  </cols>
  <sheetData>
    <row r="1" ht="1.5" customHeight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ht="14.25" hidden="1" customHeight="1">
      <c r="A2" s="1"/>
      <c r="B2" s="1" t="s">
        <v>5</v>
      </c>
      <c r="C2" s="2">
        <v>17.0</v>
      </c>
      <c r="D2" s="2">
        <v>12.0</v>
      </c>
      <c r="E2" s="3">
        <f>B9</f>
        <v>20</v>
      </c>
      <c r="F2" s="4">
        <f>(B11+B12)</f>
        <v>1725.83</v>
      </c>
      <c r="G2" s="5">
        <f>F2/(1-(C2/100)-(D2/100)-(E2/100))</f>
        <v>3383.980392</v>
      </c>
    </row>
    <row r="3" ht="14.25" hidden="1" customHeight="1">
      <c r="A3" s="1"/>
      <c r="B3" s="1" t="s">
        <v>6</v>
      </c>
      <c r="C3" s="6">
        <v>12.0</v>
      </c>
      <c r="D3" s="6"/>
      <c r="E3" s="6"/>
      <c r="F3" s="6"/>
      <c r="G3" s="7">
        <f>F2/(1-(C3/100)-(D2/100)-(E2/100))</f>
        <v>3081.839286</v>
      </c>
    </row>
    <row r="4" ht="14.25" hidden="1" customHeight="1">
      <c r="A4" s="1"/>
      <c r="B4" s="1" t="s">
        <v>7</v>
      </c>
      <c r="C4" s="8">
        <v>12.0</v>
      </c>
      <c r="D4" s="9" t="s">
        <v>8</v>
      </c>
      <c r="E4" s="6"/>
      <c r="F4" s="6"/>
      <c r="G4" s="10">
        <f>F2/(1-(C4/100)-(D2/100)-(E2/100))</f>
        <v>3081.839286</v>
      </c>
    </row>
    <row r="5" ht="14.25" hidden="1" customHeight="1">
      <c r="A5" s="1"/>
      <c r="B5" s="1" t="s">
        <v>9</v>
      </c>
      <c r="C5" s="6">
        <v>3.89</v>
      </c>
      <c r="D5" s="11" t="s">
        <v>10</v>
      </c>
      <c r="E5" s="6"/>
      <c r="F5" s="6"/>
      <c r="G5" s="12">
        <f>F2/(1-(C5/100)-(D2/100)-(E2/100))</f>
        <v>2691.98253</v>
      </c>
      <c r="H5" s="13"/>
    </row>
    <row r="6" ht="14.25" hidden="1" customHeight="1">
      <c r="A6" s="1"/>
      <c r="B6" s="1" t="s">
        <v>11</v>
      </c>
      <c r="C6" s="14">
        <v>-1.0</v>
      </c>
      <c r="D6" s="15" t="s">
        <v>12</v>
      </c>
      <c r="E6" s="6"/>
      <c r="F6" s="6"/>
      <c r="G6" s="12">
        <f>F2/(1-(C6/100)-(D2/100)-(E2/100))</f>
        <v>2501.202899</v>
      </c>
      <c r="H6" s="13"/>
    </row>
    <row r="7" ht="14.25" customHeight="1">
      <c r="A7" s="16"/>
      <c r="B7" s="17" t="s">
        <v>13</v>
      </c>
      <c r="C7" s="18"/>
      <c r="D7" s="19"/>
      <c r="E7" s="20"/>
      <c r="F7" s="20"/>
      <c r="G7" s="21"/>
    </row>
    <row r="8" ht="14.25" customHeight="1">
      <c r="A8" s="22" t="s">
        <v>14</v>
      </c>
      <c r="B8" s="23"/>
      <c r="C8" s="24"/>
      <c r="D8" s="25" t="s">
        <v>15</v>
      </c>
      <c r="E8" s="26"/>
      <c r="F8" s="24"/>
      <c r="G8" s="27" t="s">
        <v>16</v>
      </c>
      <c r="H8" s="28" t="s">
        <v>17</v>
      </c>
      <c r="I8" s="29" t="s">
        <v>18</v>
      </c>
      <c r="J8" s="30" t="s">
        <v>19</v>
      </c>
      <c r="K8" s="24"/>
    </row>
    <row r="9" ht="14.25" customHeight="1">
      <c r="A9" s="31" t="s">
        <v>20</v>
      </c>
      <c r="B9" s="32">
        <v>20.0</v>
      </c>
      <c r="C9" s="33"/>
      <c r="D9" s="34" t="s">
        <v>21</v>
      </c>
      <c r="E9" s="35">
        <f t="shared" ref="E9:E13" si="1">G2</f>
        <v>3383.980392</v>
      </c>
      <c r="F9" s="24">
        <v>17.0</v>
      </c>
      <c r="G9" s="36"/>
      <c r="H9" s="37">
        <f>E9*17%</f>
        <v>575.2766667</v>
      </c>
      <c r="I9" s="38">
        <f>(B11+B12+H9)</f>
        <v>2301.106667</v>
      </c>
      <c r="J9" s="39">
        <f t="shared" ref="J9:J10" si="2">(E9-I9)</f>
        <v>1082.873725</v>
      </c>
      <c r="K9" s="24"/>
    </row>
    <row r="10" ht="14.25" customHeight="1">
      <c r="A10" s="33"/>
      <c r="B10" s="40"/>
      <c r="C10" s="33"/>
      <c r="D10" s="34" t="s">
        <v>22</v>
      </c>
      <c r="E10" s="35">
        <f t="shared" si="1"/>
        <v>3081.839286</v>
      </c>
      <c r="F10" s="24">
        <v>12.0</v>
      </c>
      <c r="G10" s="41"/>
      <c r="H10" s="42">
        <f>E10*12%</f>
        <v>369.8207143</v>
      </c>
      <c r="I10" s="43">
        <f>(B11+B12+H10)</f>
        <v>2095.650714</v>
      </c>
      <c r="J10" s="44">
        <f t="shared" si="2"/>
        <v>986.1885714</v>
      </c>
      <c r="K10" s="45" t="s">
        <v>23</v>
      </c>
    </row>
    <row r="11" ht="14.25" customHeight="1">
      <c r="A11" s="46" t="s">
        <v>24</v>
      </c>
      <c r="B11" s="47">
        <v>1725.83</v>
      </c>
      <c r="C11" s="33"/>
      <c r="D11" s="48" t="s">
        <v>25</v>
      </c>
      <c r="E11" s="49">
        <f t="shared" si="1"/>
        <v>3081.839286</v>
      </c>
      <c r="F11" s="24"/>
      <c r="G11" s="50"/>
      <c r="H11" s="24"/>
      <c r="I11" s="24"/>
      <c r="J11" s="24"/>
      <c r="K11" s="24"/>
    </row>
    <row r="12" ht="32.25" customHeight="1">
      <c r="A12" s="51" t="s">
        <v>26</v>
      </c>
      <c r="B12" s="47">
        <v>0.0</v>
      </c>
      <c r="C12" s="33"/>
      <c r="D12" s="52" t="s">
        <v>27</v>
      </c>
      <c r="E12" s="53">
        <f t="shared" si="1"/>
        <v>2691.98253</v>
      </c>
      <c r="F12" s="24"/>
      <c r="G12" s="54"/>
      <c r="H12" s="55">
        <f>E12*4%</f>
        <v>107.6793012</v>
      </c>
      <c r="I12" s="55">
        <f>(B11+B12+H12)</f>
        <v>1833.509301</v>
      </c>
      <c r="J12" s="56">
        <f>E12-I12</f>
        <v>858.4732288</v>
      </c>
      <c r="K12" s="24"/>
    </row>
    <row r="13" ht="14.25" customHeight="1">
      <c r="A13" s="33"/>
      <c r="B13" s="57"/>
      <c r="D13" s="48" t="s">
        <v>11</v>
      </c>
      <c r="E13" s="49">
        <f t="shared" si="1"/>
        <v>2501.202899</v>
      </c>
      <c r="F13" s="24"/>
      <c r="G13" s="50"/>
      <c r="H13" s="24"/>
      <c r="I13" s="24"/>
      <c r="J13" s="58"/>
      <c r="K13" s="24"/>
    </row>
    <row r="14" ht="14.25" customHeight="1">
      <c r="A14" s="24"/>
      <c r="B14" s="24"/>
      <c r="C14" s="24"/>
      <c r="D14" s="24"/>
      <c r="E14" s="24"/>
      <c r="G14" s="59"/>
      <c r="H14" s="59"/>
      <c r="I14" s="59"/>
      <c r="J14" s="24"/>
      <c r="K14" s="59"/>
    </row>
    <row r="15" ht="14.2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ht="14.2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ht="14.25" customHeight="1">
      <c r="A17" s="24"/>
      <c r="B17" s="24"/>
      <c r="D17" s="60" t="s">
        <v>28</v>
      </c>
      <c r="E17" s="61"/>
      <c r="F17" s="24"/>
      <c r="G17" s="24"/>
      <c r="H17" s="24"/>
      <c r="I17" s="24"/>
      <c r="J17" s="24"/>
      <c r="K17" s="24"/>
    </row>
    <row r="18" ht="14.25" customHeight="1">
      <c r="A18" s="24"/>
      <c r="B18" s="24"/>
      <c r="C18" s="24"/>
      <c r="D18" s="62" t="s">
        <v>29</v>
      </c>
      <c r="E18" s="63"/>
      <c r="F18" s="24"/>
      <c r="G18" s="24"/>
      <c r="H18" s="24"/>
      <c r="I18" s="24"/>
      <c r="J18" s="24"/>
      <c r="K18" s="24"/>
    </row>
    <row r="19" ht="14.25" customHeight="1">
      <c r="B19" s="24"/>
      <c r="C19" s="24"/>
      <c r="D19" s="64" t="s">
        <v>30</v>
      </c>
      <c r="E19" s="64"/>
      <c r="F19" s="24"/>
      <c r="G19" s="24"/>
      <c r="H19" s="24"/>
      <c r="I19" s="24"/>
      <c r="J19" s="24"/>
      <c r="K19" s="24"/>
    </row>
    <row r="20" ht="14.25" customHeight="1">
      <c r="D20" s="65" t="s">
        <v>31</v>
      </c>
      <c r="E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